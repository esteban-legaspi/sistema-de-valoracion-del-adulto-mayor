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UAA\4to Semestre\modeladoDeRequerimentos\Proyecto final MDR\"/>
    </mc:Choice>
  </mc:AlternateContent>
  <xr:revisionPtr revIDLastSave="0" documentId="8_{4C6D0F77-08B0-4C51-986E-DA819705853F}" xr6:coauthVersionLast="47" xr6:coauthVersionMax="47" xr10:uidLastSave="{00000000-0000-0000-0000-000000000000}"/>
  <bookViews>
    <workbookView xWindow="14295" yWindow="0" windowWidth="14520" windowHeight="15585" activeTab="1" xr2:uid="{00000000-000D-0000-FFFF-FFFF00000000}"/>
  </bookViews>
  <sheets>
    <sheet name="Instrucciones" sheetId="1" r:id="rId1"/>
    <sheet name="Trazabilidad" sheetId="2" r:id="rId2"/>
    <sheet name="Resumen Cobertura" sheetId="3" r:id="rId3"/>
  </sheets>
  <definedNames>
    <definedName name="_xlnm._FilterDatabase" localSheetId="1" hidden="1">Trazabilidad!$A$3:$J$204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3" i="3"/>
  <c r="B12" i="3"/>
  <c r="B10" i="3"/>
  <c r="B9" i="3"/>
  <c r="B8" i="3"/>
  <c r="B7" i="3"/>
</calcChain>
</file>

<file path=xl/sharedStrings.xml><?xml version="1.0" encoding="utf-8"?>
<sst xmlns="http://schemas.openxmlformats.org/spreadsheetml/2006/main" count="231" uniqueCount="150">
  <si>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</si>
  <si>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</si>
  <si>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</si>
  <si>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</si>
  <si>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</si>
  <si>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</si>
  <si>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</si>
  <si>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</si>
  <si>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</si>
  <si>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</si>
  <si>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</si>
  <si>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</si>
  <si>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</si>
  <si>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</si>
  <si>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</si>
  <si>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</si>
  <si>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</si>
  <si>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>¿Cómo identificar las pantallas? (columna 'ID Pantalla')</t>
  </si>
  <si>
    <t>El ID de pantalla (PNT-01, PNT-02...) es un código que SU EQUIPO inventa para identificar cada pantalla del prototipo. No existe un estándar externo — simplemente asignen un número secuencial a cada pantalla.</t>
  </si>
  <si>
    <t>Pasos para definir los IDs:</t>
  </si>
  <si>
    <t>1.  Abran su prototipo HTML y listen todas las pantallas que tiene.</t>
  </si>
  <si>
    <t>2.  Asignen PNT-01 a la primera, PNT-02 a la segunda, y así sucesivamente.</t>
  </si>
  <si>
    <t>3.  Usen esos mismos IDs en esta matriz, en la Especificación Final y en el README de GitHub.</t>
  </si>
  <si>
    <t>⚠️  Regla crítica: un ID que aparece en esta matriz DEBE existir con ese mismo nombre en el prototipo. Si cambian el nombre de una pantalla en el HTML, actualicen la matriz.</t>
  </si>
  <si>
    <t>Ejemplo de lista de pantallas para un sistema de guías de valoración:</t>
  </si>
  <si>
    <t>ID Pantalla</t>
  </si>
  <si>
    <t>Nombre descriptivo</t>
  </si>
  <si>
    <t>PNT-01</t>
  </si>
  <si>
    <t>Login / Inicio de sesión</t>
  </si>
  <si>
    <t>PNT-02</t>
  </si>
  <si>
    <t>Dashboard — vista general del estudiante</t>
  </si>
  <si>
    <t>PNT-03</t>
  </si>
  <si>
    <t>Captura de guía de valoración</t>
  </si>
  <si>
    <t>PNT-04</t>
  </si>
  <si>
    <t>Historial de guías del paciente</t>
  </si>
  <si>
    <t>PNT-05</t>
  </si>
  <si>
    <t>Panel de revisión del docente</t>
  </si>
  <si>
    <t>PNT-06</t>
  </si>
  <si>
    <t>Administración de plantillas (coordinador)</t>
  </si>
  <si>
    <t>¿Qué nivel de detalle se espera? (columna 'Sección / Componente')</t>
  </si>
  <si>
    <t>Esta columna ubica DENTRO de una pantalla el lugar exacto donde el requerimiento es visible. No basta con nombrar la pantalla — hay que señalar el elemento específico.</t>
  </si>
  <si>
    <t>Piénsenlo así: alguien que nunca ha visto su prototipo debe poder abrir el HTML y encontrar ese elemento en menos de 30 segundos con su descripción.</t>
  </si>
  <si>
    <t>Ejemplos: descripción vaga vs. descripción útil</t>
  </si>
  <si>
    <t>❌  Descripción vaga (no aceptable)</t>
  </si>
  <si>
    <t>✅  Descripción específica (lo que se espera)</t>
  </si>
  <si>
    <t>❌  'Pantalla de captura'</t>
  </si>
  <si>
    <t>✅  'Formulario principal — sección Patrón nutricional, campo Tipo de dieta'</t>
  </si>
  <si>
    <t>❌  'Menú'</t>
  </si>
  <si>
    <t>✅  'Barra de navegación lateral, ítem Mis guías'</t>
  </si>
  <si>
    <t>❌  'Login'</t>
  </si>
  <si>
    <t>✅  'Selector de rol debajo del campo de contraseña'</t>
  </si>
  <si>
    <t>❌  'Pantalla del docente'</t>
  </si>
  <si>
    <t>✅  'Tabla de guías del grupo, columna Estado — botón Ver detalle'</t>
  </si>
  <si>
    <t>❌  'Dashboard'</t>
  </si>
  <si>
    <t>✅  'Tarjeta resumen en esquina superior derecha — contador de guías pendientes'</t>
  </si>
  <si>
    <t>Casos especiales — ¿qué poner cuando el requerimiento no es visible en el prototipo?</t>
  </si>
  <si>
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</si>
  <si>
    <t>• No cubierto: El requerimiento SÍ debería ser visible en el prototipo pero aún no está implementado. Documentarlo así y no omitirlo — la transparencia es parte de la evaluación.</t>
  </si>
  <si>
    <t>• Parcialmente cubierto: El prototipo muestra parte del requerimiento pero no todo. En Observaciones indicar qué falta exactamente.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</si>
  <si>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</si>
  <si>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</si>
  <si>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</si>
  <si>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</si>
  <si>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</si>
  <si>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</si>
  <si>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</si>
  <si>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</si>
  <si>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</si>
  <si>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</si>
  <si>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</si>
  <si>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</si>
  <si>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</si>
  <si>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</si>
  <si>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</si>
  <si>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Must have</t>
  </si>
  <si>
    <t>Cubierto</t>
  </si>
  <si>
    <t>Sí</t>
  </si>
  <si>
    <t>RF-02</t>
  </si>
  <si>
    <t>RF-03</t>
  </si>
  <si>
    <t>RF-04</t>
  </si>
  <si>
    <t>RF-05</t>
  </si>
  <si>
    <t>Login</t>
  </si>
  <si>
    <t>Menú diferenciado tras autenticación según rol</t>
  </si>
  <si>
    <t>RF-06</t>
  </si>
  <si>
    <t>Parcialmente cubierto</t>
  </si>
  <si>
    <t>RF-07</t>
  </si>
  <si>
    <t>Should have</t>
  </si>
  <si>
    <t>RF-08</t>
  </si>
  <si>
    <t>No aplica al prototipo</t>
  </si>
  <si>
    <t>—</t>
  </si>
  <si>
    <t>RF-09</t>
  </si>
  <si>
    <t>RNF-01</t>
  </si>
  <si>
    <t>RNF</t>
  </si>
  <si>
    <t>RNF-02</t>
  </si>
  <si>
    <t>RNF-03</t>
  </si>
  <si>
    <t>Requerimiento de rendimiento; validar en implementación real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</si>
  <si>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</si>
  <si>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</si>
  <si>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</si>
  <si>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</si>
  <si>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</si>
  <si>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</si>
  <si>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</si>
  <si>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</si>
  <si>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</si>
  <si>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</si>
  <si>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</si>
  <si>
    <t>El sistema debe permitir el registro y autenticación de usuarios con roles diferenciados (estudiante, profesor, administrador).</t>
  </si>
  <si>
    <t xml:space="preserve">El sistema deberá mostrar el formulario de valoración dividido en secciones, aplicando filtros dinámicos para visualizar u ocultar preguntas de acuerdo con el perfil del paciente. </t>
  </si>
  <si>
    <t>Formulario de Valoración</t>
  </si>
  <si>
    <t>Después de mostrar el aviso de confidencialidad al hacer click en nueva valoración en la PNT-02, se muestra la pantalla de captura de formulario dividido por secciones.</t>
  </si>
  <si>
    <t xml:space="preserve">Aun faltan más filtros según las respuestas que se vayan dando, pero ya está el filtro por género. </t>
  </si>
  <si>
    <t>El sistema debe mostrar un mensaje de confidencialidad de carácter informativo antes de iniciar la valoración, visible para el estudiante previo a la realización de una valoración.</t>
  </si>
  <si>
    <t>Aviso de confidencialidad</t>
  </si>
  <si>
    <t>Después de hacer click en nueva valoración en PNT-02, se muestrá el mensaje informativo de la Ley de protección de datos.</t>
  </si>
  <si>
    <t>El sistema debe generar un resumen de la
valoración exportable e imprimible en
formato PDF.</t>
  </si>
  <si>
    <t>Al finalizar de responder todas las secciones, al darle al botón de "finalizar y guardar", se muestra el PDF exportable.</t>
  </si>
  <si>
    <t>El sistema debe contar con una base de
datos centralizada donde los usuarios
autorizados puedan consultar, filtrar y
comparar registros de valoraciones previas.</t>
  </si>
  <si>
    <t>Dashboard de Maestro</t>
  </si>
  <si>
    <t>Al ingresar al sistema como Maestro, se muestran todas las valoraciones realizadas por todos los alumnos.</t>
  </si>
  <si>
    <t>El sistema debe permitir al profesor revisar y registrar retroalimentación sobre las valoraciones entregadas por los estudiantes</t>
  </si>
  <si>
    <t>El botón "dar retroalimentación" de la columna retroalimentación.</t>
  </si>
  <si>
    <t>Deben existir valoraciones completadas guardadas para que funcione el botón</t>
  </si>
  <si>
    <t>El sistema debe generar reportes
estadísticos sobre los datos recopilados en
las valoraciones, accesibles para
coordinación y jefe de departamento.</t>
  </si>
  <si>
    <t>No cubierto</t>
  </si>
  <si>
    <t>El sistema debe mostrar una sección de créditos que incluya los nombres del equipo de desarrollo, la carrera y el departamento, aplicando la identidad visual institucional de la UAA (colores y logotipos).</t>
  </si>
  <si>
    <t>Se implementará en versión futura</t>
  </si>
  <si>
    <t>El sistema debe permitir guardar una
valoración de forma parcial para continuarla
en una sesión posterior</t>
  </si>
  <si>
    <t>Al hacer click en "siguiente" despues de completar una sección se guardara en la BD esa sección y la valoración se podrá continuar posteriormente.</t>
  </si>
  <si>
    <t>RF-10</t>
  </si>
  <si>
    <t>El sistema debe permitir la autenticación mediante SSO (Single Sign-On) con las plataformas institucionales ACIUAA y UAA.MX, sin requerir un registro adicional.</t>
  </si>
  <si>
    <t>Could</t>
  </si>
  <si>
    <t>RF-11</t>
  </si>
  <si>
    <t>La mayoría de los campos del formulario de valoración deben ser de opción múltiple para minimizar la escritura manual y reducir errores de captura. Las preguntas abiertas se conservan solo cuando sean estrictamente necesarias.</t>
  </si>
  <si>
    <t>Preguntas del formulario</t>
  </si>
  <si>
    <t>RF-12</t>
  </si>
  <si>
    <t>El sistema debe soportar las siguientes guias de instrumentos clinicos: Guia adulto mayor, Indice de Katz, minimental y depresión geriatrica</t>
  </si>
  <si>
    <t>Secciones del formulario se ven todas</t>
  </si>
  <si>
    <t>El sistema debe estar disponible las 24 horas del
día, los 7 días de la semana durante el semestre
activo.</t>
  </si>
  <si>
    <t>El sistema debe soportar al menos 12 usuarios simultáneos sin degradación perceptible del rendimiento</t>
  </si>
  <si>
    <t>El sistema debe garantizar que los datos
clínicos de los pacientes sean accesibles
únicamente por usuarios autorizados según
su rol, cumpliendo con la LFPDPPP</t>
  </si>
  <si>
    <t>Cada usuario (admin, maestro, estudiante) solo accede a la información que le corresponde.</t>
  </si>
  <si>
    <t>RNF-04</t>
  </si>
  <si>
    <t>El sistema debe ser accesible desde
dispositivos móviles y navegadores webs
modernos, con una interfaz intuitiva
adaptada a usuarios con nivel tecnológico
básico.</t>
  </si>
  <si>
    <t xml:space="preserve"> Requerimiento de usabilidad: Validar en implementación real cuando el servidor sea público. </t>
  </si>
  <si>
    <t>RNF-05</t>
  </si>
  <si>
    <t>El sistema debe responder a las acciones
del usuario en el menor tiempo posible,
priorizando la fluidez durante la entrevista al
paciente.</t>
  </si>
  <si>
    <t>RNF-06</t>
  </si>
  <si>
    <t>El sistema debe mantener la identidad visual
institucional de la UAA de forma consistente
en todas las vistas.</t>
  </si>
  <si>
    <t xml:space="preserve">Falta agregal logo de la UAA, pero los colores de la misma se respetan en todas las pantallas.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</si>
</sst>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1"/>
      <color rgb="FF1F4E79"/>
      <name val="Arial"/>
      <family val="2"/>
    </font>
    <font>
      <sz val="11"/>
      <color rgb="FF40404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1F4E79"/>
      <name val="Arial"/>
      <family val="2"/>
    </font>
    <font>
      <b/>
      <sz val="11"/>
      <color rgb="FF404040"/>
      <name val="Arial"/>
      <family val="2"/>
    </font>
    <font>
      <sz val="11"/>
      <color rgb="FF833C00"/>
      <name val="Arial"/>
      <family val="2"/>
    </font>
    <font>
      <i/>
      <sz val="10"/>
      <name val="Arial"/>
      <family val="2"/>
    </font>
    <font>
      <i/>
      <sz val="11"/>
      <color rgb="FF37562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4B5"/>
        <bgColor rgb="FF2E74B5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theme="0"/>
        <bgColor rgb="FFF8F8F8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2" borderId="0" xfId="0" applyFill="1"/>
    <xf numFmtId="0" fontId="10" fillId="11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wrapText="1" indent="2"/>
    </xf>
    <xf numFmtId="0" fontId="1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4" fillId="0" borderId="0" xfId="0" applyFont="1" applyAlignment="1">
      <alignment wrapText="1"/>
    </xf>
    <xf numFmtId="0" fontId="5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wrapText="1" indent="2"/>
    </xf>
    <xf numFmtId="0" fontId="1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7" fillId="14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45" workbookViewId="0">
      <selection activeCell="B45" sqref="B45"/>
    </sheetView>
  </sheetViews>
  <sheetFormatPr baseColWidth="10" defaultColWidth="9.140625" defaultRowHeight="15" x14ac:dyDescent="0.25"/>
  <cols>
    <col min="1" max="2" width="60" customWidth="1"/>
  </cols>
  <sheetData>
    <row r="1" spans="1:7" ht="30" customHeight="1" x14ac:dyDescent="0.3">
      <c r="A1" s="25" t="s">
        <v>0</v>
      </c>
      <c r="B1" s="26"/>
      <c r="C1" s="26"/>
      <c r="D1" s="26"/>
      <c r="E1" s="26"/>
      <c r="F1" s="26"/>
      <c r="G1" s="26"/>
    </row>
    <row r="3" spans="1:7" ht="30" customHeight="1" x14ac:dyDescent="0.25">
      <c r="A3" s="1" t="s">
        <v>1</v>
      </c>
    </row>
    <row r="4" spans="1:7" ht="66" customHeight="1" x14ac:dyDescent="0.25">
      <c r="A4" s="2" t="s">
        <v>2</v>
      </c>
    </row>
    <row r="6" spans="1:7" ht="30" customHeight="1" x14ac:dyDescent="0.25">
      <c r="A6" s="1" t="s">
        <v>3</v>
      </c>
    </row>
    <row r="7" spans="1:7" ht="42.75" customHeight="1" x14ac:dyDescent="0.25">
      <c r="A7" s="2" t="s">
        <v>4</v>
      </c>
    </row>
    <row r="8" spans="1:7" ht="43.5" customHeight="1" x14ac:dyDescent="0.25">
      <c r="A8" s="2" t="s">
        <v>5</v>
      </c>
    </row>
    <row r="9" spans="1:7" ht="36.75" customHeight="1" x14ac:dyDescent="0.25">
      <c r="A9" s="2" t="s">
        <v>6</v>
      </c>
    </row>
    <row r="10" spans="1:7" ht="21.75" customHeight="1" x14ac:dyDescent="0.25">
      <c r="A10" s="2" t="s">
        <v>7</v>
      </c>
    </row>
    <row r="11" spans="1:7" ht="42" customHeight="1" x14ac:dyDescent="0.25">
      <c r="A11" s="2" t="s">
        <v>8</v>
      </c>
    </row>
    <row r="12" spans="1:7" ht="36" customHeight="1" x14ac:dyDescent="0.25">
      <c r="A12" s="2" t="s">
        <v>9</v>
      </c>
    </row>
    <row r="14" spans="1:7" ht="30" customHeight="1" x14ac:dyDescent="0.25">
      <c r="A14" s="1" t="s">
        <v>10</v>
      </c>
    </row>
    <row r="15" spans="1:7" ht="31.5" customHeight="1" x14ac:dyDescent="0.25">
      <c r="A15" s="2" t="s">
        <v>11</v>
      </c>
    </row>
    <row r="16" spans="1:7" ht="29.25" customHeight="1" x14ac:dyDescent="0.25">
      <c r="A16" s="2" t="s">
        <v>12</v>
      </c>
    </row>
    <row r="17" spans="1:1" ht="28.5" customHeight="1" x14ac:dyDescent="0.25">
      <c r="A17" s="2" t="s">
        <v>13</v>
      </c>
    </row>
    <row r="18" spans="1:1" ht="33.75" customHeight="1" x14ac:dyDescent="0.25">
      <c r="A18" s="2" t="s">
        <v>14</v>
      </c>
    </row>
    <row r="20" spans="1:1" ht="30" customHeight="1" x14ac:dyDescent="0.25">
      <c r="A20" s="1" t="s">
        <v>15</v>
      </c>
    </row>
    <row r="21" spans="1:1" ht="66.75" customHeight="1" x14ac:dyDescent="0.25">
      <c r="A21" s="2" t="s">
        <v>16</v>
      </c>
    </row>
    <row r="23" spans="1:1" ht="6" customHeight="1" x14ac:dyDescent="0.25">
      <c r="A23" s="11"/>
    </row>
    <row r="24" spans="1:1" ht="38.25" customHeight="1" x14ac:dyDescent="0.25">
      <c r="A24" s="12" t="s">
        <v>17</v>
      </c>
    </row>
    <row r="25" spans="1:1" ht="65.25" customHeight="1" x14ac:dyDescent="0.25">
      <c r="A25" s="2" t="s">
        <v>18</v>
      </c>
    </row>
    <row r="26" spans="1:1" ht="15.75" customHeight="1" x14ac:dyDescent="0.25">
      <c r="A26" s="13" t="s">
        <v>19</v>
      </c>
    </row>
    <row r="27" spans="1:1" ht="36.75" customHeight="1" x14ac:dyDescent="0.25">
      <c r="A27" s="14" t="s">
        <v>20</v>
      </c>
    </row>
    <row r="28" spans="1:1" ht="34.5" customHeight="1" x14ac:dyDescent="0.25">
      <c r="A28" s="14" t="s">
        <v>21</v>
      </c>
    </row>
    <row r="29" spans="1:1" ht="37.5" customHeight="1" x14ac:dyDescent="0.25">
      <c r="A29" s="14" t="s">
        <v>22</v>
      </c>
    </row>
    <row r="30" spans="1:1" ht="50.25" customHeight="1" x14ac:dyDescent="0.25">
      <c r="A30" s="15" t="s">
        <v>23</v>
      </c>
    </row>
    <row r="31" spans="1:1" ht="32.25" customHeight="1" x14ac:dyDescent="0.25"/>
    <row r="32" spans="1:1" ht="38.25" customHeight="1" x14ac:dyDescent="0.25">
      <c r="A32" s="13" t="s">
        <v>24</v>
      </c>
    </row>
    <row r="33" spans="1:2" ht="20.100000000000001" customHeight="1" x14ac:dyDescent="0.25">
      <c r="A33" s="16" t="s">
        <v>25</v>
      </c>
      <c r="B33" s="16" t="s">
        <v>26</v>
      </c>
    </row>
    <row r="34" spans="1:2" ht="36" customHeight="1" x14ac:dyDescent="0.25">
      <c r="A34" s="17" t="s">
        <v>27</v>
      </c>
      <c r="B34" s="17" t="s">
        <v>28</v>
      </c>
    </row>
    <row r="35" spans="1:2" ht="36" customHeight="1" x14ac:dyDescent="0.25">
      <c r="A35" s="18" t="s">
        <v>29</v>
      </c>
      <c r="B35" s="18" t="s">
        <v>30</v>
      </c>
    </row>
    <row r="36" spans="1:2" ht="36" customHeight="1" x14ac:dyDescent="0.25">
      <c r="A36" s="17" t="s">
        <v>31</v>
      </c>
      <c r="B36" s="17" t="s">
        <v>32</v>
      </c>
    </row>
    <row r="37" spans="1:2" ht="36" customHeight="1" x14ac:dyDescent="0.25">
      <c r="A37" s="18" t="s">
        <v>33</v>
      </c>
      <c r="B37" s="18" t="s">
        <v>34</v>
      </c>
    </row>
    <row r="38" spans="1:2" ht="36" customHeight="1" x14ac:dyDescent="0.25">
      <c r="A38" s="17" t="s">
        <v>35</v>
      </c>
      <c r="B38" s="17" t="s">
        <v>36</v>
      </c>
    </row>
    <row r="39" spans="1:2" ht="36" customHeight="1" x14ac:dyDescent="0.25">
      <c r="A39" s="18" t="s">
        <v>37</v>
      </c>
      <c r="B39" s="18" t="s">
        <v>38</v>
      </c>
    </row>
    <row r="42" spans="1:2" ht="6" customHeight="1" x14ac:dyDescent="0.25">
      <c r="A42" s="11"/>
    </row>
    <row r="43" spans="1:2" ht="39" customHeight="1" x14ac:dyDescent="0.25">
      <c r="A43" s="12" t="s">
        <v>39</v>
      </c>
    </row>
    <row r="44" spans="1:2" ht="48.75" customHeight="1" x14ac:dyDescent="0.25">
      <c r="A44" s="2" t="s">
        <v>40</v>
      </c>
    </row>
    <row r="45" spans="1:2" ht="51.75" customHeight="1" x14ac:dyDescent="0.25">
      <c r="A45" s="19" t="s">
        <v>41</v>
      </c>
    </row>
    <row r="47" spans="1:2" ht="18" customHeight="1" x14ac:dyDescent="0.25">
      <c r="A47" s="13" t="s">
        <v>42</v>
      </c>
    </row>
    <row r="48" spans="1:2" ht="20.100000000000001" customHeight="1" x14ac:dyDescent="0.25">
      <c r="A48" s="20" t="s">
        <v>43</v>
      </c>
      <c r="B48" s="21" t="s">
        <v>44</v>
      </c>
    </row>
    <row r="49" spans="1:2" ht="36" customHeight="1" x14ac:dyDescent="0.25">
      <c r="A49" s="22" t="s">
        <v>45</v>
      </c>
      <c r="B49" s="23" t="s">
        <v>46</v>
      </c>
    </row>
    <row r="50" spans="1:2" ht="36" customHeight="1" x14ac:dyDescent="0.25">
      <c r="A50" s="22" t="s">
        <v>47</v>
      </c>
      <c r="B50" s="23" t="s">
        <v>48</v>
      </c>
    </row>
    <row r="51" spans="1:2" ht="36" customHeight="1" x14ac:dyDescent="0.25">
      <c r="A51" s="22" t="s">
        <v>49</v>
      </c>
      <c r="B51" s="23" t="s">
        <v>50</v>
      </c>
    </row>
    <row r="52" spans="1:2" ht="36" customHeight="1" x14ac:dyDescent="0.25">
      <c r="A52" s="22" t="s">
        <v>51</v>
      </c>
      <c r="B52" s="23" t="s">
        <v>52</v>
      </c>
    </row>
    <row r="53" spans="1:2" ht="36" customHeight="1" x14ac:dyDescent="0.25">
      <c r="A53" s="22" t="s">
        <v>53</v>
      </c>
      <c r="B53" s="23" t="s">
        <v>54</v>
      </c>
    </row>
    <row r="55" spans="1:2" ht="36.75" customHeight="1" x14ac:dyDescent="0.25">
      <c r="A55" s="13" t="s">
        <v>55</v>
      </c>
    </row>
    <row r="56" spans="1:2" ht="75.75" customHeight="1" x14ac:dyDescent="0.25">
      <c r="A56" s="24" t="s">
        <v>56</v>
      </c>
    </row>
    <row r="57" spans="1:2" ht="59.25" customHeight="1" x14ac:dyDescent="0.25">
      <c r="A57" s="24" t="s">
        <v>57</v>
      </c>
    </row>
    <row r="58" spans="1:2" ht="48.75" customHeight="1" x14ac:dyDescent="0.25">
      <c r="A58" s="24" t="s">
        <v>58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35" customWidth="1"/>
    <col min="4" max="5" width="12" customWidth="1"/>
    <col min="6" max="6" width="22" customWidth="1"/>
    <col min="7" max="7" width="28" customWidth="1"/>
    <col min="8" max="8" width="18" customWidth="1"/>
    <col min="9" max="9" width="14" customWidth="1"/>
    <col min="10" max="10" width="30" customWidth="1"/>
  </cols>
  <sheetData>
    <row r="1" spans="1:10" ht="27.95" customHeight="1" x14ac:dyDescent="0.25">
      <c r="A1" s="27" t="s">
        <v>59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32" t="s">
        <v>60</v>
      </c>
      <c r="B2" s="29"/>
      <c r="C2" s="29"/>
      <c r="D2" s="30"/>
      <c r="E2" s="28" t="s">
        <v>61</v>
      </c>
      <c r="F2" s="29"/>
      <c r="G2" s="29"/>
      <c r="H2" s="30"/>
      <c r="I2" s="31" t="s">
        <v>62</v>
      </c>
      <c r="J2" s="30"/>
    </row>
    <row r="3" spans="1:10" ht="30" customHeight="1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25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</row>
    <row r="4" spans="1:10" ht="51" x14ac:dyDescent="0.25">
      <c r="A4" s="4" t="s">
        <v>72</v>
      </c>
      <c r="B4" s="4" t="s">
        <v>73</v>
      </c>
      <c r="C4" s="4" t="s">
        <v>107</v>
      </c>
      <c r="D4" s="4" t="s">
        <v>74</v>
      </c>
      <c r="E4" s="4" t="s">
        <v>27</v>
      </c>
      <c r="F4" s="4" t="s">
        <v>81</v>
      </c>
      <c r="G4" s="4" t="s">
        <v>82</v>
      </c>
      <c r="H4" s="5" t="s">
        <v>75</v>
      </c>
      <c r="I4" s="4" t="s">
        <v>76</v>
      </c>
      <c r="J4" s="4"/>
    </row>
    <row r="5" spans="1:10" ht="76.5" x14ac:dyDescent="0.25">
      <c r="A5" s="6" t="s">
        <v>77</v>
      </c>
      <c r="B5" s="6" t="s">
        <v>73</v>
      </c>
      <c r="C5" s="6" t="s">
        <v>108</v>
      </c>
      <c r="D5" s="6" t="s">
        <v>74</v>
      </c>
      <c r="E5" s="6" t="s">
        <v>33</v>
      </c>
      <c r="F5" s="6" t="s">
        <v>109</v>
      </c>
      <c r="G5" s="6" t="s">
        <v>110</v>
      </c>
      <c r="H5" s="7" t="s">
        <v>84</v>
      </c>
      <c r="I5" s="6" t="s">
        <v>76</v>
      </c>
      <c r="J5" s="6" t="s">
        <v>111</v>
      </c>
    </row>
    <row r="6" spans="1:10" ht="65.25" customHeight="1" x14ac:dyDescent="0.25">
      <c r="A6" s="4" t="s">
        <v>78</v>
      </c>
      <c r="B6" s="4" t="s">
        <v>73</v>
      </c>
      <c r="C6" s="4" t="s">
        <v>112</v>
      </c>
      <c r="D6" s="4" t="s">
        <v>74</v>
      </c>
      <c r="E6" s="4" t="s">
        <v>31</v>
      </c>
      <c r="F6" s="4" t="s">
        <v>113</v>
      </c>
      <c r="G6" s="4" t="s">
        <v>114</v>
      </c>
      <c r="H6" s="5" t="s">
        <v>75</v>
      </c>
      <c r="I6" s="4" t="s">
        <v>76</v>
      </c>
      <c r="J6" s="4"/>
    </row>
    <row r="7" spans="1:10" ht="59.25" customHeight="1" x14ac:dyDescent="0.25">
      <c r="A7" s="6" t="s">
        <v>79</v>
      </c>
      <c r="B7" s="6" t="s">
        <v>73</v>
      </c>
      <c r="C7" s="6" t="s">
        <v>115</v>
      </c>
      <c r="D7" s="6" t="s">
        <v>74</v>
      </c>
      <c r="E7" s="6" t="s">
        <v>33</v>
      </c>
      <c r="F7" s="6" t="s">
        <v>109</v>
      </c>
      <c r="G7" s="6" t="s">
        <v>116</v>
      </c>
      <c r="H7" s="5" t="s">
        <v>75</v>
      </c>
      <c r="I7" s="6" t="s">
        <v>76</v>
      </c>
      <c r="J7" s="6"/>
    </row>
    <row r="8" spans="1:10" ht="66.75" customHeight="1" x14ac:dyDescent="0.25">
      <c r="A8" s="4" t="s">
        <v>80</v>
      </c>
      <c r="B8" s="4" t="s">
        <v>73</v>
      </c>
      <c r="C8" s="4" t="s">
        <v>117</v>
      </c>
      <c r="D8" s="4" t="s">
        <v>74</v>
      </c>
      <c r="E8" s="4" t="s">
        <v>35</v>
      </c>
      <c r="F8" s="4" t="s">
        <v>118</v>
      </c>
      <c r="G8" s="4" t="s">
        <v>119</v>
      </c>
      <c r="H8" s="5" t="s">
        <v>75</v>
      </c>
      <c r="I8" s="4" t="s">
        <v>76</v>
      </c>
      <c r="J8" s="4"/>
    </row>
    <row r="9" spans="1:10" ht="53.25" customHeight="1" x14ac:dyDescent="0.25">
      <c r="A9" s="6" t="s">
        <v>83</v>
      </c>
      <c r="B9" s="6" t="s">
        <v>73</v>
      </c>
      <c r="C9" s="6" t="s">
        <v>120</v>
      </c>
      <c r="D9" s="6" t="s">
        <v>74</v>
      </c>
      <c r="E9" s="6" t="s">
        <v>35</v>
      </c>
      <c r="F9" s="6" t="s">
        <v>118</v>
      </c>
      <c r="G9" s="6" t="s">
        <v>121</v>
      </c>
      <c r="H9" s="5" t="s">
        <v>75</v>
      </c>
      <c r="I9" s="6" t="s">
        <v>76</v>
      </c>
      <c r="J9" s="6" t="s">
        <v>122</v>
      </c>
    </row>
    <row r="10" spans="1:10" ht="82.5" customHeight="1" x14ac:dyDescent="0.25">
      <c r="A10" s="4" t="s">
        <v>85</v>
      </c>
      <c r="B10" s="4" t="s">
        <v>73</v>
      </c>
      <c r="C10" s="4" t="s">
        <v>123</v>
      </c>
      <c r="D10" s="4" t="s">
        <v>86</v>
      </c>
      <c r="E10" s="4"/>
      <c r="F10" s="4"/>
      <c r="G10" s="4"/>
      <c r="H10" s="35" t="s">
        <v>124</v>
      </c>
      <c r="I10" s="6" t="s">
        <v>89</v>
      </c>
      <c r="J10" s="4" t="s">
        <v>126</v>
      </c>
    </row>
    <row r="11" spans="1:10" ht="83.25" customHeight="1" x14ac:dyDescent="0.25">
      <c r="A11" s="6" t="s">
        <v>87</v>
      </c>
      <c r="B11" s="6" t="s">
        <v>73</v>
      </c>
      <c r="C11" s="6" t="s">
        <v>125</v>
      </c>
      <c r="D11" s="6" t="s">
        <v>74</v>
      </c>
      <c r="E11" s="6"/>
      <c r="F11" s="6"/>
      <c r="G11" s="6"/>
      <c r="H11" s="8" t="s">
        <v>124</v>
      </c>
      <c r="I11" s="6" t="s">
        <v>89</v>
      </c>
      <c r="J11" s="6" t="s">
        <v>126</v>
      </c>
    </row>
    <row r="12" spans="1:10" ht="74.25" customHeight="1" x14ac:dyDescent="0.25">
      <c r="A12" s="4" t="s">
        <v>90</v>
      </c>
      <c r="B12" s="4" t="s">
        <v>73</v>
      </c>
      <c r="C12" s="4" t="s">
        <v>127</v>
      </c>
      <c r="D12" s="4" t="s">
        <v>74</v>
      </c>
      <c r="E12" s="4" t="s">
        <v>33</v>
      </c>
      <c r="F12" s="4" t="s">
        <v>109</v>
      </c>
      <c r="G12" s="4" t="s">
        <v>128</v>
      </c>
      <c r="H12" s="5" t="s">
        <v>75</v>
      </c>
      <c r="I12" s="4" t="s">
        <v>76</v>
      </c>
      <c r="J12" s="4"/>
    </row>
    <row r="13" spans="1:10" ht="74.25" customHeight="1" x14ac:dyDescent="0.25">
      <c r="A13" s="4" t="s">
        <v>129</v>
      </c>
      <c r="B13" s="4" t="s">
        <v>73</v>
      </c>
      <c r="C13" s="4" t="s">
        <v>130</v>
      </c>
      <c r="D13" s="4" t="s">
        <v>131</v>
      </c>
      <c r="E13" s="4"/>
      <c r="F13" s="4"/>
      <c r="G13" s="4"/>
      <c r="H13" s="8" t="s">
        <v>124</v>
      </c>
      <c r="I13" s="4"/>
      <c r="J13" s="4" t="s">
        <v>126</v>
      </c>
    </row>
    <row r="14" spans="1:10" ht="80.25" customHeight="1" x14ac:dyDescent="0.25">
      <c r="A14" s="4" t="s">
        <v>132</v>
      </c>
      <c r="B14" s="4" t="s">
        <v>73</v>
      </c>
      <c r="C14" s="4" t="s">
        <v>133</v>
      </c>
      <c r="D14" s="4" t="s">
        <v>74</v>
      </c>
      <c r="E14" s="4" t="s">
        <v>33</v>
      </c>
      <c r="F14" s="4" t="s">
        <v>109</v>
      </c>
      <c r="G14" s="4" t="s">
        <v>134</v>
      </c>
      <c r="H14" s="5" t="s">
        <v>75</v>
      </c>
      <c r="I14" s="4" t="s">
        <v>76</v>
      </c>
      <c r="J14" s="4"/>
    </row>
    <row r="15" spans="1:10" ht="63.75" customHeight="1" x14ac:dyDescent="0.25">
      <c r="A15" s="4" t="s">
        <v>135</v>
      </c>
      <c r="B15" s="4" t="s">
        <v>73</v>
      </c>
      <c r="C15" s="4" t="s">
        <v>136</v>
      </c>
      <c r="D15" s="4" t="s">
        <v>74</v>
      </c>
      <c r="E15" s="4" t="s">
        <v>33</v>
      </c>
      <c r="F15" s="4" t="s">
        <v>109</v>
      </c>
      <c r="G15" s="4" t="s">
        <v>137</v>
      </c>
      <c r="H15" s="5" t="s">
        <v>75</v>
      </c>
      <c r="I15" s="4" t="s">
        <v>76</v>
      </c>
      <c r="J15" s="4"/>
    </row>
    <row r="16" spans="1:10" ht="69" customHeight="1" x14ac:dyDescent="0.25">
      <c r="A16" s="6" t="s">
        <v>91</v>
      </c>
      <c r="B16" s="6" t="s">
        <v>92</v>
      </c>
      <c r="C16" s="6" t="s">
        <v>138</v>
      </c>
      <c r="D16" s="6" t="s">
        <v>74</v>
      </c>
      <c r="E16" s="6"/>
      <c r="F16" s="6"/>
      <c r="G16" s="6"/>
      <c r="H16" s="8" t="s">
        <v>88</v>
      </c>
      <c r="I16" s="4" t="s">
        <v>89</v>
      </c>
      <c r="J16" s="6" t="s">
        <v>95</v>
      </c>
    </row>
    <row r="17" spans="1:10" ht="50.25" customHeight="1" x14ac:dyDescent="0.25">
      <c r="A17" s="4" t="s">
        <v>93</v>
      </c>
      <c r="B17" s="4" t="s">
        <v>92</v>
      </c>
      <c r="C17" s="4" t="s">
        <v>139</v>
      </c>
      <c r="D17" s="4" t="s">
        <v>74</v>
      </c>
      <c r="E17" s="4"/>
      <c r="F17" s="4"/>
      <c r="G17" s="4"/>
      <c r="H17" s="8" t="s">
        <v>88</v>
      </c>
      <c r="I17" s="4" t="s">
        <v>89</v>
      </c>
      <c r="J17" s="4" t="s">
        <v>95</v>
      </c>
    </row>
    <row r="18" spans="1:10" ht="85.5" customHeight="1" x14ac:dyDescent="0.25">
      <c r="A18" s="6" t="s">
        <v>94</v>
      </c>
      <c r="B18" s="6" t="s">
        <v>92</v>
      </c>
      <c r="C18" s="6" t="s">
        <v>140</v>
      </c>
      <c r="D18" s="6" t="s">
        <v>86</v>
      </c>
      <c r="E18" s="6" t="s">
        <v>27</v>
      </c>
      <c r="F18" s="6" t="s">
        <v>81</v>
      </c>
      <c r="G18" s="6" t="s">
        <v>141</v>
      </c>
      <c r="H18" s="5" t="s">
        <v>75</v>
      </c>
      <c r="I18" s="6" t="s">
        <v>76</v>
      </c>
      <c r="J18" s="6"/>
    </row>
    <row r="19" spans="1:10" ht="78.75" customHeight="1" x14ac:dyDescent="0.25">
      <c r="A19" s="36" t="s">
        <v>142</v>
      </c>
      <c r="B19" s="36" t="s">
        <v>92</v>
      </c>
      <c r="C19" s="37" t="s">
        <v>143</v>
      </c>
      <c r="D19" s="36" t="s">
        <v>86</v>
      </c>
      <c r="E19" s="36"/>
      <c r="F19" s="36"/>
      <c r="G19" s="36"/>
      <c r="H19" s="8" t="s">
        <v>88</v>
      </c>
      <c r="I19" s="36" t="s">
        <v>76</v>
      </c>
      <c r="J19" s="36" t="s">
        <v>144</v>
      </c>
    </row>
    <row r="20" spans="1:10" ht="85.5" customHeight="1" x14ac:dyDescent="0.25">
      <c r="A20" s="6" t="s">
        <v>145</v>
      </c>
      <c r="B20" s="6" t="s">
        <v>92</v>
      </c>
      <c r="C20" s="6" t="s">
        <v>146</v>
      </c>
      <c r="D20" s="6" t="s">
        <v>74</v>
      </c>
      <c r="E20" s="6"/>
      <c r="F20" s="6"/>
      <c r="G20" s="6"/>
      <c r="H20" s="8" t="s">
        <v>88</v>
      </c>
      <c r="I20" s="6" t="s">
        <v>76</v>
      </c>
      <c r="J20" s="4" t="s">
        <v>95</v>
      </c>
    </row>
    <row r="21" spans="1:10" ht="85.5" customHeight="1" x14ac:dyDescent="0.25">
      <c r="A21" s="6" t="s">
        <v>147</v>
      </c>
      <c r="B21" s="6" t="s">
        <v>92</v>
      </c>
      <c r="C21" s="6" t="s">
        <v>148</v>
      </c>
      <c r="D21" s="6" t="s">
        <v>74</v>
      </c>
      <c r="E21" s="6"/>
      <c r="F21" s="6"/>
      <c r="G21" s="6"/>
      <c r="H21" s="5" t="s">
        <v>75</v>
      </c>
      <c r="I21" s="6" t="s">
        <v>76</v>
      </c>
      <c r="J21" s="4" t="s">
        <v>149</v>
      </c>
    </row>
  </sheetData>
  <autoFilter ref="A3:J204" xr:uid="{00000000-0009-0000-0000-000001000000}"/>
  <mergeCells count="4">
    <mergeCell ref="A1:J1"/>
    <mergeCell ref="E2:H2"/>
    <mergeCell ref="I2:J2"/>
    <mergeCell ref="A2:D2"/>
  </mergeCells>
  <dataValidations count="2">
    <dataValidation type="list" allowBlank="1" sqref="H4:H204" xr:uid="{00000000-0002-0000-0100-000000000000}">
      <formula1>"Cubierto,Parcialmente cubierto,No cubierto,No aplica al prototipo"</formula1>
    </dataValidation>
    <dataValidation type="list" allowBlank="1" sqref="I4:I204" xr:uid="{00000000-0002-0000-0100-000001000000}">
      <formula1>"Sí,No,—"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45" customWidth="1"/>
    <col min="2" max="2" width="20" customWidth="1"/>
  </cols>
  <sheetData>
    <row r="1" spans="1:4" ht="27.95" customHeight="1" x14ac:dyDescent="0.25">
      <c r="A1" s="33" t="s">
        <v>96</v>
      </c>
      <c r="B1" s="26"/>
      <c r="C1" s="26"/>
      <c r="D1" s="26"/>
    </row>
    <row r="3" spans="1:4" x14ac:dyDescent="0.25">
      <c r="A3" s="34" t="s">
        <v>97</v>
      </c>
      <c r="B3" s="26"/>
      <c r="C3" s="26"/>
      <c r="D3" s="26"/>
    </row>
    <row r="5" spans="1:4" x14ac:dyDescent="0.25">
      <c r="A5" s="9" t="s">
        <v>98</v>
      </c>
      <c r="B5" s="9" t="s">
        <v>99</v>
      </c>
    </row>
    <row r="6" spans="1:4" x14ac:dyDescent="0.25">
      <c r="A6" s="10" t="s">
        <v>100</v>
      </c>
      <c r="B6" s="10">
        <f>COUNTA(Trazabilidad!A4:A204)</f>
        <v>18</v>
      </c>
    </row>
    <row r="7" spans="1:4" x14ac:dyDescent="0.25">
      <c r="A7" s="10" t="s">
        <v>101</v>
      </c>
      <c r="B7" s="10">
        <f>COUNTIF(Trazabilidad!H4:H204,"Cubierto")</f>
        <v>10</v>
      </c>
    </row>
    <row r="8" spans="1:4" x14ac:dyDescent="0.25">
      <c r="A8" s="10" t="s">
        <v>102</v>
      </c>
      <c r="B8" s="10">
        <f>COUNTIF(Trazabilidad!H4:H204,"Parcialmente cubierto")</f>
        <v>1</v>
      </c>
    </row>
    <row r="9" spans="1:4" x14ac:dyDescent="0.25">
      <c r="A9" s="10" t="s">
        <v>103</v>
      </c>
      <c r="B9" s="10">
        <f>COUNTIF(Trazabilidad!H4:H204,"No cubierto")</f>
        <v>3</v>
      </c>
    </row>
    <row r="10" spans="1:4" x14ac:dyDescent="0.25">
      <c r="A10" s="10" t="s">
        <v>104</v>
      </c>
      <c r="B10" s="10">
        <f>COUNTIF(Trazabilidad!H4:H204,"No aplica al prototipo")</f>
        <v>4</v>
      </c>
    </row>
    <row r="12" spans="1:4" x14ac:dyDescent="0.25">
      <c r="A12" s="10" t="s">
        <v>105</v>
      </c>
      <c r="B12" s="10">
        <f>COUNTIF(Trazabilidad!I4:I204,"Sí")</f>
        <v>13</v>
      </c>
    </row>
    <row r="13" spans="1:4" x14ac:dyDescent="0.25">
      <c r="A13" s="10" t="s">
        <v>106</v>
      </c>
      <c r="B13" s="10">
        <f>COUNTIF(Trazabilidad!I4:I204,"No")</f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ESTEBAN JIMENEZ LEGASPI</cp:lastModifiedBy>
  <dcterms:created xsi:type="dcterms:W3CDTF">2026-05-28T16:50:59Z</dcterms:created>
  <dcterms:modified xsi:type="dcterms:W3CDTF">2026-06-15T20:59:45Z</dcterms:modified>
</cp:coreProperties>
</file>