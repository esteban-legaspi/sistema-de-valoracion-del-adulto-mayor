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y Drive\UAA\4to Semestre\modeladoDeRequerimentos\Proyecto final MDR\Identificación y análisis de Requerimientos\"/>
    </mc:Choice>
  </mc:AlternateContent>
  <xr:revisionPtr revIDLastSave="0" documentId="13_ncr:1_{445DA39C-74E2-405A-9344-F2BD0DD963E8}" xr6:coauthVersionLast="47" xr6:coauthVersionMax="47" xr10:uidLastSave="{00000000-0000-0000-0000-000000000000}"/>
  <bookViews>
    <workbookView xWindow="-105" yWindow="0" windowWidth="14610" windowHeight="15585" activeTab="1" xr2:uid="{00000000-000D-0000-FFFF-FFFF00000000}"/>
  </bookViews>
  <sheets>
    <sheet name="Instrucciones" sheetId="1" r:id="rId1"/>
    <sheet name="RF - Funcionales" sheetId="2" r:id="rId2"/>
    <sheet name="RNF - No Funcionales" sheetId="3" r:id="rId3"/>
    <sheet name="Resumen" sheetId="4" r:id="rId4"/>
  </sheets>
  <definedNames>
    <definedName name="_xlnm._FilterDatabase" localSheetId="1" hidden="1">'RF - Funcionales'!$A$1:$H$99</definedName>
    <definedName name="_xlnm._FilterDatabase" localSheetId="2" hidden="1">'RNF - No Funcionales'!$A$1:$I$100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B8" i="4" s="1"/>
  <c r="B21" i="4"/>
  <c r="B20" i="4"/>
  <c r="B19" i="4"/>
  <c r="B18" i="4"/>
  <c r="B17" i="4"/>
  <c r="B14" i="4"/>
  <c r="B13" i="4"/>
  <c r="B12" i="4"/>
  <c r="B11" i="4"/>
  <c r="B7" i="4"/>
</calcChain>
</file>

<file path=xl/sharedStrings.xml><?xml version="1.0" encoding="utf-8"?>
<sst xmlns="http://schemas.openxmlformats.org/spreadsheetml/2006/main" count="192" uniqueCount="128">
  <si>
    <t>RESUMEN DE REQUERIMIENTOS</t>
  </si>
  <si>
    <t>Esta hoja se actualizará automáticamente conforme agreguen requerimientos en las otras pestañas.</t>
  </si>
  <si>
    <t>Métrica</t>
  </si>
  <si>
    <t>Valor</t>
  </si>
  <si>
    <t>Total de Requerimientos Funcionales</t>
  </si>
  <si>
    <t>Total de Requerimientos No Funcionales</t>
  </si>
  <si>
    <t>Total General</t>
  </si>
  <si>
    <t>Requerimientos por Prioridad</t>
  </si>
  <si>
    <t>Must have (RF + RNF)</t>
  </si>
  <si>
    <t>Should have (RF + RNF)</t>
  </si>
  <si>
    <t>Could have (RF + RNF)</t>
  </si>
  <si>
    <t>Won't have (RF + RNF)</t>
  </si>
  <si>
    <t>Requerimientos por Estado</t>
  </si>
  <si>
    <t>Propuesto</t>
  </si>
  <si>
    <t>En revisión</t>
  </si>
  <si>
    <t>Validado internamente</t>
  </si>
  <si>
    <t>Validado con cliente</t>
  </si>
  <si>
    <t>Rechazado</t>
  </si>
  <si>
    <t>MATRIZ DE REQUERIMIENTOS - INSTRUCCIONES DE USO</t>
  </si>
  <si>
    <t>Propósito de esta matriz</t>
  </si>
  <si>
    <t>Esta matriz les permite documentar, priorizar y dar seguimiento a los requerimientos identificados en las entrevistas con el cliente.</t>
  </si>
  <si>
    <t>La matriz está diseñada para refinamiento iterativo: pueden ir agregando y modificando requerimientos conforme avanzan las entrevistas.</t>
  </si>
  <si>
    <t>Cómo usar esta plantilla:</t>
  </si>
  <si>
    <t>1. Vayan a la pestaña 'RF - Requerimientos Funcionales' y documenten todos los requerimientos funcionales identificados.</t>
  </si>
  <si>
    <t>2. Vayan a la pestaña 'RNF - Requerimientos No Funcionales' y documenten los no funcionales.</t>
  </si>
  <si>
    <t>3. La pestaña 'Resumen' se actualiza automáticamente con estadísticas.</t>
  </si>
  <si>
    <t>4. Usen los filtros de las columnas para ordenar por prioridad, estado, etc.</t>
  </si>
  <si>
    <t>Descripción de columnas:</t>
  </si>
  <si>
    <t>ID: Identificador único. Formato: RF-01, RF-02... para funcionales; RNF-01, RNF-02... para no funcionales.</t>
  </si>
  <si>
    <t>Descripción: Redactar en formato 'El sistema debe...' Ser específico y claro.</t>
  </si>
  <si>
    <t>Criterio de aceptación: ¿Cómo sabemos que el requerimiento está cumplido? OBLIGATORIO para Must-have.</t>
  </si>
  <si>
    <t>Prioridad: Usar metodología MoSCoW:</t>
  </si>
  <si>
    <t xml:space="preserve">  • Must have: Sin esto, el sistema no tiene sentido</t>
  </si>
  <si>
    <t xml:space="preserve">  • Should have: Muy importante, pero no crítico para primera versión</t>
  </si>
  <si>
    <t xml:space="preserve">  • Could have: Deseable si hay tiempo/presupuesto</t>
  </si>
  <si>
    <t xml:space="preserve">  • Won't have: Fuera de alcance en esta versión</t>
  </si>
  <si>
    <t>Fuente: ¿Quién solicitó este requerimiento? (nombre del stakeholder o rol)</t>
  </si>
  <si>
    <t>Estado: Evolución del requerimiento:</t>
  </si>
  <si>
    <t xml:space="preserve">  • Propuesto: Identificado en entrevista, pendiente de análisis</t>
  </si>
  <si>
    <t xml:space="preserve">  • En revisión: El equipo lo está analizando/refinando</t>
  </si>
  <si>
    <t xml:space="preserve">  • Validado internamente: El equipo confirma que es correcto</t>
  </si>
  <si>
    <t xml:space="preserve">  • Validado con cliente: El cliente lo aprobó</t>
  </si>
  <si>
    <t xml:space="preserve">  • Rechazado: Se decidió no incluirlo (explicar en Notas)</t>
  </si>
  <si>
    <t>Versión: Número de versión del requerimiento (empieza en 1.0, si lo modifican pasa a 1.1, etc.)</t>
  </si>
  <si>
    <t>Notas: Comentarios, dependencias con otros requerimientos, aclaraciones.</t>
  </si>
  <si>
    <t>Errores comunes a evitar:</t>
  </si>
  <si>
    <t>❌ Requerimientos ambiguos: 'El sistema debe ser rápido' → ✅ 'El sistema debe responder en menos de 2 segundos'</t>
  </si>
  <si>
    <t>❌ Soluciones disfrazadas de requerimientos: 'Debe usar MySQL' → ✅ 'Debe almacenar datos de forma persistente'</t>
  </si>
  <si>
    <t>❌ Requerimientos sin criterio de aceptación para Must-have → ✅ Siempre definir cómo validar</t>
  </si>
  <si>
    <t>❌ No indicar fuente → ✅ Rastrear quién lo pidió</t>
  </si>
  <si>
    <t>¡Éxito documentando sus requerimientos! 🚀</t>
  </si>
  <si>
    <t>ID</t>
  </si>
  <si>
    <t>Descripción</t>
  </si>
  <si>
    <t>Criterio de Aceptación</t>
  </si>
  <si>
    <t>Prioridad</t>
  </si>
  <si>
    <t>Fuente</t>
  </si>
  <si>
    <t>Estado</t>
  </si>
  <si>
    <t>Versión</t>
  </si>
  <si>
    <t>Notas</t>
  </si>
  <si>
    <t>RF-01</t>
  </si>
  <si>
    <t>El sistema permite iniciar sesión con credenciales válidas y muestra únicamente las funciones correspondientes al rol del usuario. Un usuario con rol incorrecto o credenciales inválidas no accede al sistema.</t>
  </si>
  <si>
    <t>Must</t>
  </si>
  <si>
    <t>Cliente</t>
  </si>
  <si>
    <t>1.0</t>
  </si>
  <si>
    <t>RF-02</t>
  </si>
  <si>
    <t>El sistema debe presentar el formulario de valoración organizado por secciones, mostrando u ocultando preguntas dinámicamente según el perfil del paciente. El filtro de edad aplica exclusivamente para adultos mayores. El filtro de género permanece activo.</t>
  </si>
  <si>
    <t>Al registrar el perfil del paciente, las secciones y preguntas irrelevantes desaparecen automáticamente del formulario sin recargar la página. Las preguntas visibles corresponden exactamente al perfil ingresado (edad y género).</t>
  </si>
  <si>
    <t>1.1</t>
  </si>
  <si>
    <t>RF-03</t>
  </si>
  <si>
    <t>RF-04</t>
  </si>
  <si>
    <t>El sistema debe generar un resumen de la
valoración exportable e imprimible en
formato PDF.</t>
  </si>
  <si>
    <t>Al finalizar o revisar una valoración, el botón de descarga genera un archivo PDF con el resumen completo de la valoración. El PDF es legible, contiene todos los datos capturados y se descarga sin errores.</t>
  </si>
  <si>
    <t>RF-05</t>
  </si>
  <si>
    <t>El sistema debe contar con una base de
datos centralizada donde los usuarios
autorizados puedan consultar, filtrar y
comparar registros de valoraciones previas.</t>
  </si>
  <si>
    <t>Un usuario autorizado puede buscar, filtrar por criterios (fecha, paciente, semestre) y visualizar valoraciones anteriores. Un usuario sin permiso no puede acceder a registros fuera de su rol.</t>
  </si>
  <si>
    <t>RF-06</t>
  </si>
  <si>
    <t>El sistema debe permitir al profesor revisar y
registrar retroalimentación sobre las
valoraciones entregadas por los estudiantes.</t>
  </si>
  <si>
    <t>El profesor puede abrir una valoración entregada, escribir comentarios u observaciones y guardarlos. El estudiante puede visualizar la retroalimentación registrada desde su perfil.</t>
  </si>
  <si>
    <t>RF-07</t>
  </si>
  <si>
    <t>El sistema debe generar reportes
estadísticos sobre los datos recopilados en
las valoraciones, accesibles para
coordinación y jefe de departamento.</t>
  </si>
  <si>
    <t>El usuario autorizado puede generar un reporte aplicando al menos un filtro clínico o demográfico. El reporte muestra datos correctos, consistentes con los registros almacenados, y puede exportarse o visualizarse en pantalla.</t>
  </si>
  <si>
    <t>RF-08</t>
  </si>
  <si>
    <t>El sistema debe mostrar una sección de créditos que incluya los nombres del equipo de desarrollo, la carrera y el departamento, aplicando la identidad visual institucional de la UAA (colores y logotipos).</t>
  </si>
  <si>
    <t>La sección de créditos es accesible desde el sistema y contiene los nombres del equipo, la carrera y el departamento. Los colores institucionales y logos de la UAA y Departamento de Enfermería están presentes en la sección de créditos.</t>
  </si>
  <si>
    <t>La consistencia visual institucional en TODAS las pantallas está cubierta por RNF-06. Este requerimiento se acota al contenido funcional de la sección de créditos para evitar redundancia.</t>
  </si>
  <si>
    <t>RF-09</t>
  </si>
  <si>
    <t>El sistema debe permitir guardar una
valoración de forma parcial para continuarla
en una sesión posterior</t>
  </si>
  <si>
    <t>El estudiante puede guardar el avance de una valoración incompleta y, al volver a acceder, el formulario retoma exactamente desde donde se dejó, sin pérdida de datos previamente capturados.</t>
  </si>
  <si>
    <t>RF-10</t>
  </si>
  <si>
    <t>El sistema debe permitir la autenticación mediante SSO (Single Sign-On) con las plataformas institucionales ACIUAA y UAA.MX, sin requerir un registro adicional.</t>
  </si>
  <si>
    <t>El usuario puede autenticarse en el sistema usando sus credenciales institucionales de ACIUAA o UAA.MX sin necesidad de un registro adicional.</t>
  </si>
  <si>
    <t>Could</t>
  </si>
  <si>
    <t>Pendiente: confirmar viabilidad técnica con DSIA antes de proceder. Si no es viable, reconsiderar prioridad o eliminar requerimiento.</t>
  </si>
  <si>
    <t>RF-11</t>
  </si>
  <si>
    <t>La mayoría de los campos del formulario de valoración deben ser de opción múltiple para minimizar la escritura manual y reducir errores de captura. Las preguntas abiertas se conservan solo cuando sean estrictamente necesarias.</t>
  </si>
  <si>
    <t>Al menos el 80% de los campos del formulario de valoración son de opción múltiple. Los campos de texto libre están justificados y son los mínimos posibles. El estudiante puede completar una valoración estándar sin necesidad de escribir texto libre en la mayoría de las secciones.</t>
  </si>
  <si>
    <t>RF-12</t>
  </si>
  <si>
    <t>El sistema muestra y permite aplicar los 3 instrumentos clínicos definidos. Cada instrumento tiene su propia estructura independiente. El estudiante puede seleccionar el instrumento correspondiente y completarlo sin interferencia con los otros.</t>
  </si>
  <si>
    <t>Categoría</t>
  </si>
  <si>
    <t>RNF-01</t>
  </si>
  <si>
    <t>Disponibilidad</t>
  </si>
  <si>
    <t>El sistema debe estar disponible las 24 horas del
día, los 7 días de la semana durante el semestre
activo.</t>
  </si>
  <si>
    <t>El sistema responde correctamente a cualquier hora del día durante el semestre activo. No se registran caídas no programadas. En caso de mantenimiento, se notifica con anticipación.</t>
  </si>
  <si>
    <t>RNF-02</t>
  </si>
  <si>
    <t>Rendimiento</t>
  </si>
  <si>
    <t>El sistema debe soportar al menos 12
usuarios simultáneos sin degradación
perceptible del rendimiento.</t>
  </si>
  <si>
    <t>Con 12 sesiones activas simultáneas, el tiempo de respuesta del sistema no supera los 3 segundos en operaciones estándar (carga de formulario, guardado de respuestas, navegación entre secciones).</t>
  </si>
  <si>
    <t>RNF-03</t>
  </si>
  <si>
    <t>Seguridad</t>
  </si>
  <si>
    <t>El sistema debe garantizar que los datos
clínicos de los pacientes sean accesibles
únicamente por usuarios autorizados según
su rol, cumpliendo con la LFPDPPP</t>
  </si>
  <si>
    <t>Un usuario sin los permisos correspondientes no puede visualizar, editar ni exportar datos clínicos de pacientes. El sistema cumple con los lineamientos de la LFPDPPP verificados por el área jurídica de la UAA.</t>
  </si>
  <si>
    <t>RNF-04</t>
  </si>
  <si>
    <t>Usabilidad</t>
  </si>
  <si>
    <t>El sistema debe ser accesible desde
dispositivos móviles y navegadores webs
modernos, con una interfaz intuitiva
adaptada a usuarios con nivel tecnológico
básico.</t>
  </si>
  <si>
    <t>Un usuario sin experiencia previa en el sistema puede completar una valoración completa sin asistencia técnica tras una capacitación breve. El sistema se visualiza correctamente en Chrome, Firefox y Safari, tanto en escritorio como en móvil.</t>
  </si>
  <si>
    <t>RNF-05</t>
  </si>
  <si>
    <t>El sistema debe responder a las acciones
del usuario en el menor tiempo posible,
priorizando la fluidez durante la entrevista al
paciente.</t>
  </si>
  <si>
    <t>Las acciones comunes (seleccionar respuesta, avanzar sección, guardar parcial) responden en menos de 2 segundos bajo condiciones normales de uso. No se presentan bloqueos o congelamientos durante la captura de la valoración.</t>
  </si>
  <si>
    <t>Este requerimiento (respuesta &lt; 2 s en uso individual normal) complementa a RNF-02 (respuesta ≤ 3 s bajo carga de 12 usuarios simultáneos). Los umbrales son distintos por contexto; no son contradictorios pero deben documentarse juntos para evitar confusión.</t>
  </si>
  <si>
    <t>RNF-06</t>
  </si>
  <si>
    <t>El sistema debe mantener la identidad visual
institucional de la UAA de forma consistente
en todas las vistas.</t>
  </si>
  <si>
    <t>Todas las pantallas del sistema presentan los colores, tipografía y logos institucionales definidos. No existen vistas sin identidad visual aplicada.</t>
  </si>
  <si>
    <t>La consistencia visual en todas las pantallas es responsabilidad de este RNF. El contenido de la sección de créditos (nombres del equipo, carrera, departamento) está cubierto funcionalmente por RF-08.</t>
  </si>
  <si>
    <t>Should</t>
  </si>
  <si>
    <t>Al ingresar al módulo de valoración, el estudiante visualiza el mensaje de confidencialidad antes de ver cualquier dato del paciente.</t>
  </si>
  <si>
    <t>El sistema debe permitir el registro y autenticación de usuarios con roles diferenciados (estudiante, profesor, administrador).</t>
  </si>
  <si>
    <t>El sistema debe mostrar un mensaje de confidencialidad de carácter informativo antes de iniciar la valoración, visible para el estudiante previo a la realización de una valoración.</t>
  </si>
  <si>
    <t>El sistema debe soportar las siguientes guias de instrumentos clinicos: Guia adulto mayor, Indice de Katz, minimental y depresión geriatrica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</si>
</sst>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6"/>
      <color rgb="FF1F4E79"/>
      <name val="Calibri"/>
      <family val="2"/>
    </font>
    <font>
      <b/>
      <sz val="12"/>
      <color rgb="FF1F4E79"/>
      <name val="Calibri"/>
      <family val="2"/>
    </font>
    <font>
      <b/>
      <sz val="11"/>
      <color rgb="FF1F4E79"/>
      <name val="Calibri"/>
      <family val="2"/>
    </font>
    <font>
      <b/>
      <sz val="11"/>
      <color rgb="FFFFFFFF"/>
      <name val="Calibri"/>
      <family val="2"/>
    </font>
    <font>
      <i/>
      <sz val="10"/>
      <name val="Calibri"/>
      <family val="2"/>
    </font>
  </fonts>
  <fills count="5">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theme="0"/>
        <bgColor rgb="FFFFE6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0" fillId="0" borderId="1" xfId="0" applyBorder="1" applyAlignment="1">
      <alignment vertical="top" wrapText="1"/>
    </xf>
    <xf numFmtId="0" fontId="3" fillId="3" borderId="0" xfId="0" applyFont="1" applyFill="1"/>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164" fontId="0" fillId="4" borderId="1" xfId="0" applyNumberFormat="1" applyFill="1" applyBorder="1" applyAlignment="1">
      <alignment horizontal="center" vertical="center" wrapText="1"/>
    </xf>
    <xf numFmtId="0" fontId="1" fillId="0" borderId="0" xfId="0" applyFont="1"/>
    <xf numFmtId="0" fontId="0" fillId="0" borderId="0" xfId="0"/>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sqref="A1:H1"/>
    </sheetView>
  </sheetViews>
  <sheetFormatPr baseColWidth="10" defaultColWidth="9.140625" defaultRowHeight="15" x14ac:dyDescent="0.25"/>
  <cols>
    <col min="1" max="1" width="120" customWidth="1"/>
  </cols>
  <sheetData>
    <row r="1" spans="1:8" ht="21" customHeight="1" x14ac:dyDescent="0.35">
      <c r="A1" s="11" t="s">
        <v>18</v>
      </c>
      <c r="B1" s="12"/>
      <c r="C1" s="12"/>
      <c r="D1" s="12"/>
      <c r="E1" s="12"/>
      <c r="F1" s="12"/>
      <c r="G1" s="12"/>
      <c r="H1" s="12"/>
    </row>
    <row r="3" spans="1:8" ht="15.75" customHeight="1" x14ac:dyDescent="0.25">
      <c r="A3" s="1" t="s">
        <v>19</v>
      </c>
    </row>
    <row r="4" spans="1:8" x14ac:dyDescent="0.25">
      <c r="A4" s="2" t="s">
        <v>20</v>
      </c>
    </row>
    <row r="5" spans="1:8" ht="30" customHeight="1" x14ac:dyDescent="0.25">
      <c r="A5" s="2" t="s">
        <v>21</v>
      </c>
    </row>
    <row r="7" spans="1:8" x14ac:dyDescent="0.25">
      <c r="A7" s="3" t="s">
        <v>22</v>
      </c>
    </row>
    <row r="8" spans="1:8" x14ac:dyDescent="0.25">
      <c r="A8" s="2" t="s">
        <v>23</v>
      </c>
    </row>
    <row r="9" spans="1:8" x14ac:dyDescent="0.25">
      <c r="A9" s="2" t="s">
        <v>24</v>
      </c>
    </row>
    <row r="10" spans="1:8" x14ac:dyDescent="0.25">
      <c r="A10" s="2" t="s">
        <v>25</v>
      </c>
    </row>
    <row r="11" spans="1:8" x14ac:dyDescent="0.25">
      <c r="A11" s="2" t="s">
        <v>26</v>
      </c>
    </row>
    <row r="13" spans="1:8" x14ac:dyDescent="0.25">
      <c r="A13" s="3" t="s">
        <v>27</v>
      </c>
    </row>
    <row r="15" spans="1:8" x14ac:dyDescent="0.25">
      <c r="A15" s="2" t="s">
        <v>28</v>
      </c>
    </row>
    <row r="16" spans="1:8" x14ac:dyDescent="0.25">
      <c r="A16" s="2" t="s">
        <v>29</v>
      </c>
    </row>
    <row r="17" spans="1:1" x14ac:dyDescent="0.25">
      <c r="A17" s="2" t="s">
        <v>30</v>
      </c>
    </row>
    <row r="18" spans="1:1" x14ac:dyDescent="0.25">
      <c r="A18" s="2" t="s">
        <v>31</v>
      </c>
    </row>
    <row r="19" spans="1:1" x14ac:dyDescent="0.25">
      <c r="A19" s="2" t="s">
        <v>32</v>
      </c>
    </row>
    <row r="20" spans="1:1" x14ac:dyDescent="0.25">
      <c r="A20" s="2" t="s">
        <v>33</v>
      </c>
    </row>
    <row r="21" spans="1:1" x14ac:dyDescent="0.25">
      <c r="A21" s="2" t="s">
        <v>34</v>
      </c>
    </row>
    <row r="22" spans="1:1" x14ac:dyDescent="0.25">
      <c r="A22" s="2" t="s">
        <v>35</v>
      </c>
    </row>
    <row r="23" spans="1:1" x14ac:dyDescent="0.25">
      <c r="A23" s="2" t="s">
        <v>36</v>
      </c>
    </row>
    <row r="24" spans="1:1" x14ac:dyDescent="0.25">
      <c r="A24" s="2" t="s">
        <v>37</v>
      </c>
    </row>
    <row r="25" spans="1:1" x14ac:dyDescent="0.25">
      <c r="A25" s="2" t="s">
        <v>38</v>
      </c>
    </row>
    <row r="26" spans="1:1" x14ac:dyDescent="0.25">
      <c r="A26" s="2" t="s">
        <v>39</v>
      </c>
    </row>
    <row r="27" spans="1:1" x14ac:dyDescent="0.25">
      <c r="A27" s="2" t="s">
        <v>40</v>
      </c>
    </row>
    <row r="28" spans="1:1" x14ac:dyDescent="0.25">
      <c r="A28" s="2" t="s">
        <v>41</v>
      </c>
    </row>
    <row r="29" spans="1:1" x14ac:dyDescent="0.25">
      <c r="A29" s="2" t="s">
        <v>42</v>
      </c>
    </row>
    <row r="30" spans="1:1" x14ac:dyDescent="0.25">
      <c r="A30" s="2" t="s">
        <v>43</v>
      </c>
    </row>
    <row r="31" spans="1:1" x14ac:dyDescent="0.25">
      <c r="A31" s="2" t="s">
        <v>44</v>
      </c>
    </row>
    <row r="33" spans="1:1" x14ac:dyDescent="0.25">
      <c r="A33" s="3" t="s">
        <v>45</v>
      </c>
    </row>
    <row r="34" spans="1:1" x14ac:dyDescent="0.25">
      <c r="A34" s="2" t="s">
        <v>46</v>
      </c>
    </row>
    <row r="35" spans="1:1" x14ac:dyDescent="0.25">
      <c r="A35" s="2" t="s">
        <v>47</v>
      </c>
    </row>
    <row r="36" spans="1:1" x14ac:dyDescent="0.25">
      <c r="A36" s="2" t="s">
        <v>48</v>
      </c>
    </row>
    <row r="37" spans="1:1" x14ac:dyDescent="0.25">
      <c r="A37" s="2" t="s">
        <v>49</v>
      </c>
    </row>
    <row r="39" spans="1:1" x14ac:dyDescent="0.25">
      <c r="A39" s="2" t="s">
        <v>50</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tabSelected="1" workbookViewId="0">
      <pane ySplit="1" topLeftCell="A6" activePane="bottomLeft" state="frozen"/>
      <selection pane="bottomLeft" activeCell="B19" sqref="B19"/>
    </sheetView>
  </sheetViews>
  <sheetFormatPr baseColWidth="10" defaultColWidth="9.140625" defaultRowHeight="15" x14ac:dyDescent="0.25"/>
  <cols>
    <col min="1" max="1" width="10" customWidth="1"/>
    <col min="2" max="2" width="50" customWidth="1"/>
    <col min="3" max="3" width="40" customWidth="1"/>
    <col min="4" max="4" width="15" customWidth="1"/>
    <col min="5" max="6" width="20" customWidth="1"/>
    <col min="7" max="7" width="10" customWidth="1"/>
    <col min="8" max="8" width="30" customWidth="1"/>
  </cols>
  <sheetData>
    <row r="1" spans="1:8" x14ac:dyDescent="0.25">
      <c r="A1" s="4" t="s">
        <v>51</v>
      </c>
      <c r="B1" s="4" t="s">
        <v>52</v>
      </c>
      <c r="C1" s="4" t="s">
        <v>53</v>
      </c>
      <c r="D1" s="4" t="s">
        <v>54</v>
      </c>
      <c r="E1" s="4" t="s">
        <v>55</v>
      </c>
      <c r="F1" s="4" t="s">
        <v>56</v>
      </c>
      <c r="G1" s="4" t="s">
        <v>57</v>
      </c>
      <c r="H1" s="4" t="s">
        <v>58</v>
      </c>
    </row>
    <row r="2" spans="1:8" ht="90" customHeight="1" x14ac:dyDescent="0.25">
      <c r="A2" s="9" t="s">
        <v>59</v>
      </c>
      <c r="B2" s="9" t="s">
        <v>125</v>
      </c>
      <c r="C2" s="9" t="s">
        <v>60</v>
      </c>
      <c r="D2" s="9" t="s">
        <v>61</v>
      </c>
      <c r="E2" s="9" t="s">
        <v>62</v>
      </c>
      <c r="F2" s="9" t="s">
        <v>16</v>
      </c>
      <c r="G2" s="9">
        <v>1.1000000000000001</v>
      </c>
      <c r="H2" s="9"/>
    </row>
    <row r="3" spans="1:8" ht="105" customHeight="1" x14ac:dyDescent="0.25">
      <c r="A3" s="9" t="s">
        <v>64</v>
      </c>
      <c r="B3" s="9" t="s">
        <v>65</v>
      </c>
      <c r="C3" s="9" t="s">
        <v>66</v>
      </c>
      <c r="D3" s="9" t="s">
        <v>61</v>
      </c>
      <c r="E3" s="9" t="s">
        <v>62</v>
      </c>
      <c r="F3" s="9" t="s">
        <v>16</v>
      </c>
      <c r="G3" s="10" t="s">
        <v>67</v>
      </c>
      <c r="H3" s="9"/>
    </row>
    <row r="4" spans="1:8" ht="90" customHeight="1" x14ac:dyDescent="0.25">
      <c r="A4" s="9" t="s">
        <v>68</v>
      </c>
      <c r="B4" s="9" t="s">
        <v>126</v>
      </c>
      <c r="C4" s="9" t="s">
        <v>124</v>
      </c>
      <c r="D4" s="9" t="s">
        <v>61</v>
      </c>
      <c r="E4" s="9" t="s">
        <v>62</v>
      </c>
      <c r="F4" s="9" t="s">
        <v>16</v>
      </c>
      <c r="G4" s="10" t="s">
        <v>67</v>
      </c>
      <c r="H4" s="9"/>
    </row>
    <row r="5" spans="1:8" ht="75" customHeight="1" x14ac:dyDescent="0.25">
      <c r="A5" s="9" t="s">
        <v>69</v>
      </c>
      <c r="B5" s="9" t="s">
        <v>70</v>
      </c>
      <c r="C5" s="9" t="s">
        <v>71</v>
      </c>
      <c r="D5" s="9" t="s">
        <v>61</v>
      </c>
      <c r="E5" s="9" t="s">
        <v>62</v>
      </c>
      <c r="F5" s="9" t="s">
        <v>16</v>
      </c>
      <c r="G5" s="10" t="s">
        <v>67</v>
      </c>
      <c r="H5" s="9"/>
    </row>
    <row r="6" spans="1:8" ht="75" customHeight="1" x14ac:dyDescent="0.25">
      <c r="A6" s="9" t="s">
        <v>72</v>
      </c>
      <c r="B6" s="9" t="s">
        <v>73</v>
      </c>
      <c r="C6" s="9" t="s">
        <v>74</v>
      </c>
      <c r="D6" s="9" t="s">
        <v>61</v>
      </c>
      <c r="E6" s="9" t="s">
        <v>62</v>
      </c>
      <c r="F6" s="9" t="s">
        <v>16</v>
      </c>
      <c r="G6" s="10">
        <v>1</v>
      </c>
      <c r="H6" s="9"/>
    </row>
    <row r="7" spans="1:8" ht="75" customHeight="1" x14ac:dyDescent="0.25">
      <c r="A7" s="9" t="s">
        <v>75</v>
      </c>
      <c r="B7" s="9" t="s">
        <v>76</v>
      </c>
      <c r="C7" s="9" t="s">
        <v>77</v>
      </c>
      <c r="D7" s="9" t="s">
        <v>61</v>
      </c>
      <c r="E7" s="9" t="s">
        <v>62</v>
      </c>
      <c r="F7" s="9" t="s">
        <v>16</v>
      </c>
      <c r="G7" s="10">
        <v>1</v>
      </c>
      <c r="H7" s="9"/>
    </row>
    <row r="8" spans="1:8" ht="90" customHeight="1" x14ac:dyDescent="0.25">
      <c r="A8" s="9" t="s">
        <v>78</v>
      </c>
      <c r="B8" s="9" t="s">
        <v>79</v>
      </c>
      <c r="C8" s="9" t="s">
        <v>80</v>
      </c>
      <c r="D8" s="9" t="s">
        <v>123</v>
      </c>
      <c r="E8" s="9" t="s">
        <v>62</v>
      </c>
      <c r="F8" s="9" t="s">
        <v>16</v>
      </c>
      <c r="G8" s="10" t="s">
        <v>67</v>
      </c>
      <c r="H8" s="9"/>
    </row>
    <row r="9" spans="1:8" ht="105" customHeight="1" x14ac:dyDescent="0.25">
      <c r="A9" s="9" t="s">
        <v>81</v>
      </c>
      <c r="B9" s="9" t="s">
        <v>82</v>
      </c>
      <c r="C9" s="9" t="s">
        <v>83</v>
      </c>
      <c r="D9" s="9" t="s">
        <v>61</v>
      </c>
      <c r="E9" s="9" t="s">
        <v>62</v>
      </c>
      <c r="F9" s="9" t="s">
        <v>16</v>
      </c>
      <c r="G9" s="10" t="s">
        <v>67</v>
      </c>
      <c r="H9" s="9" t="s">
        <v>84</v>
      </c>
    </row>
    <row r="10" spans="1:8" ht="75" customHeight="1" x14ac:dyDescent="0.25">
      <c r="A10" s="9" t="s">
        <v>85</v>
      </c>
      <c r="B10" s="9" t="s">
        <v>86</v>
      </c>
      <c r="C10" s="9" t="s">
        <v>87</v>
      </c>
      <c r="D10" s="9" t="s">
        <v>61</v>
      </c>
      <c r="E10" s="9" t="s">
        <v>62</v>
      </c>
      <c r="F10" s="9" t="s">
        <v>16</v>
      </c>
      <c r="G10" s="10">
        <v>1</v>
      </c>
      <c r="H10" s="9"/>
    </row>
    <row r="11" spans="1:8" ht="90" customHeight="1" x14ac:dyDescent="0.25">
      <c r="A11" s="9" t="s">
        <v>88</v>
      </c>
      <c r="B11" s="9" t="s">
        <v>89</v>
      </c>
      <c r="C11" s="9" t="s">
        <v>90</v>
      </c>
      <c r="D11" s="9" t="s">
        <v>91</v>
      </c>
      <c r="E11" s="9" t="s">
        <v>62</v>
      </c>
      <c r="F11" s="9" t="s">
        <v>14</v>
      </c>
      <c r="G11" s="10">
        <v>1</v>
      </c>
      <c r="H11" s="9" t="s">
        <v>92</v>
      </c>
    </row>
    <row r="12" spans="1:8" ht="120" customHeight="1" x14ac:dyDescent="0.25">
      <c r="A12" s="9" t="s">
        <v>93</v>
      </c>
      <c r="B12" s="9" t="s">
        <v>94</v>
      </c>
      <c r="C12" s="9" t="s">
        <v>95</v>
      </c>
      <c r="D12" s="9" t="s">
        <v>61</v>
      </c>
      <c r="E12" s="9" t="s">
        <v>62</v>
      </c>
      <c r="F12" s="9" t="s">
        <v>16</v>
      </c>
      <c r="G12" s="10">
        <v>1</v>
      </c>
      <c r="H12" s="9"/>
    </row>
    <row r="13" spans="1:8" ht="105" customHeight="1" x14ac:dyDescent="0.25">
      <c r="A13" s="9" t="s">
        <v>96</v>
      </c>
      <c r="B13" s="9" t="s">
        <v>127</v>
      </c>
      <c r="C13" s="9" t="s">
        <v>97</v>
      </c>
      <c r="D13" s="9" t="s">
        <v>61</v>
      </c>
      <c r="E13" s="9" t="s">
        <v>62</v>
      </c>
      <c r="F13" s="9" t="s">
        <v>16</v>
      </c>
      <c r="G13" s="10">
        <v>1</v>
      </c>
      <c r="H13" s="9"/>
    </row>
  </sheetData>
  <autoFilter ref="A1:H99" xr:uid="{00000000-0009-0000-0000-000001000000}"/>
  <dataValidations count="2">
    <dataValidation type="list" sqref="D14:E99" xr:uid="{00000000-0002-0000-0100-000000000000}">
      <formula1>"Must have,Should have,Could have,Won't have"</formula1>
    </dataValidation>
    <dataValidation type="list" sqref="F14:G99" xr:uid="{00000000-0002-0000-0100-000001000000}">
      <formula1>"Propuesto,En revisión,Validado internamente,Validado con cliente,Rechazado"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pane ySplit="1" topLeftCell="A3" activePane="bottomLeft" state="frozen"/>
      <selection pane="bottomLeft" activeCell="C7" sqref="C7"/>
    </sheetView>
  </sheetViews>
  <sheetFormatPr baseColWidth="10" defaultColWidth="9.140625" defaultRowHeight="15" x14ac:dyDescent="0.25"/>
  <cols>
    <col min="1" max="1" width="10" customWidth="1"/>
    <col min="2" max="2" width="15" customWidth="1"/>
    <col min="3" max="3" width="45" customWidth="1"/>
    <col min="4" max="4" width="35" customWidth="1"/>
    <col min="5" max="5" width="15" customWidth="1"/>
    <col min="6" max="7" width="20" customWidth="1"/>
    <col min="8" max="8" width="10" customWidth="1"/>
    <col min="9" max="9" width="30" customWidth="1"/>
  </cols>
  <sheetData>
    <row r="1" spans="1:9" x14ac:dyDescent="0.25">
      <c r="A1" s="4" t="s">
        <v>51</v>
      </c>
      <c r="B1" s="4" t="s">
        <v>98</v>
      </c>
      <c r="C1" s="4" t="s">
        <v>52</v>
      </c>
      <c r="D1" s="4" t="s">
        <v>53</v>
      </c>
      <c r="E1" s="4" t="s">
        <v>54</v>
      </c>
      <c r="F1" s="4" t="s">
        <v>55</v>
      </c>
      <c r="G1" s="4" t="s">
        <v>56</v>
      </c>
      <c r="H1" s="4" t="s">
        <v>57</v>
      </c>
      <c r="I1" s="4" t="s">
        <v>58</v>
      </c>
    </row>
    <row r="2" spans="1:9" ht="90" customHeight="1" x14ac:dyDescent="0.25">
      <c r="A2" s="5" t="s">
        <v>99</v>
      </c>
      <c r="B2" s="5" t="s">
        <v>100</v>
      </c>
      <c r="C2" s="5" t="s">
        <v>101</v>
      </c>
      <c r="D2" s="5" t="s">
        <v>102</v>
      </c>
      <c r="E2" s="5" t="s">
        <v>61</v>
      </c>
      <c r="F2" s="5" t="s">
        <v>62</v>
      </c>
      <c r="G2" s="5" t="s">
        <v>16</v>
      </c>
      <c r="H2" s="7" t="s">
        <v>63</v>
      </c>
      <c r="I2" s="5"/>
    </row>
    <row r="3" spans="1:9" ht="90" customHeight="1" x14ac:dyDescent="0.25">
      <c r="A3" s="5" t="s">
        <v>103</v>
      </c>
      <c r="B3" s="5" t="s">
        <v>104</v>
      </c>
      <c r="C3" s="5" t="s">
        <v>105</v>
      </c>
      <c r="D3" s="5" t="s">
        <v>106</v>
      </c>
      <c r="E3" s="5" t="s">
        <v>61</v>
      </c>
      <c r="F3" s="5" t="s">
        <v>62</v>
      </c>
      <c r="G3" s="5" t="s">
        <v>16</v>
      </c>
      <c r="H3" s="8">
        <v>1</v>
      </c>
      <c r="I3" s="5"/>
    </row>
    <row r="4" spans="1:9" ht="105" customHeight="1" x14ac:dyDescent="0.25">
      <c r="A4" s="5" t="s">
        <v>107</v>
      </c>
      <c r="B4" s="5" t="s">
        <v>108</v>
      </c>
      <c r="C4" s="5" t="s">
        <v>109</v>
      </c>
      <c r="D4" s="5" t="s">
        <v>110</v>
      </c>
      <c r="E4" s="5" t="s">
        <v>61</v>
      </c>
      <c r="F4" s="5" t="s">
        <v>62</v>
      </c>
      <c r="G4" s="5" t="s">
        <v>16</v>
      </c>
      <c r="H4" s="8">
        <v>1</v>
      </c>
      <c r="I4" s="5"/>
    </row>
    <row r="5" spans="1:9" ht="105" customHeight="1" x14ac:dyDescent="0.25">
      <c r="A5" s="5" t="s">
        <v>111</v>
      </c>
      <c r="B5" s="5" t="s">
        <v>112</v>
      </c>
      <c r="C5" s="5" t="s">
        <v>113</v>
      </c>
      <c r="D5" s="5" t="s">
        <v>114</v>
      </c>
      <c r="E5" s="5" t="s">
        <v>61</v>
      </c>
      <c r="F5" s="5" t="s">
        <v>62</v>
      </c>
      <c r="G5" s="5" t="s">
        <v>16</v>
      </c>
      <c r="H5" s="8">
        <v>1</v>
      </c>
      <c r="I5" s="5"/>
    </row>
    <row r="6" spans="1:9" ht="105" customHeight="1" x14ac:dyDescent="0.25">
      <c r="A6" s="5" t="s">
        <v>115</v>
      </c>
      <c r="B6" s="5" t="s">
        <v>104</v>
      </c>
      <c r="C6" s="5" t="s">
        <v>116</v>
      </c>
      <c r="D6" s="5" t="s">
        <v>117</v>
      </c>
      <c r="E6" s="5" t="s">
        <v>61</v>
      </c>
      <c r="F6" s="5" t="s">
        <v>62</v>
      </c>
      <c r="G6" s="5" t="s">
        <v>16</v>
      </c>
      <c r="H6" s="8">
        <v>1</v>
      </c>
      <c r="I6" s="5" t="s">
        <v>118</v>
      </c>
    </row>
    <row r="7" spans="1:9" ht="75" customHeight="1" x14ac:dyDescent="0.25">
      <c r="A7" s="5" t="s">
        <v>119</v>
      </c>
      <c r="B7" s="5" t="s">
        <v>112</v>
      </c>
      <c r="C7" s="5" t="s">
        <v>120</v>
      </c>
      <c r="D7" s="5" t="s">
        <v>121</v>
      </c>
      <c r="E7" s="5" t="s">
        <v>61</v>
      </c>
      <c r="F7" s="5" t="s">
        <v>62</v>
      </c>
      <c r="G7" s="5" t="s">
        <v>16</v>
      </c>
      <c r="H7" s="8">
        <v>1</v>
      </c>
      <c r="I7" s="5" t="s">
        <v>122</v>
      </c>
    </row>
  </sheetData>
  <autoFilter ref="A1:I100" xr:uid="{00000000-0009-0000-0000-000002000000}"/>
  <dataValidations count="3">
    <dataValidation type="list" sqref="B8:B100" xr:uid="{00000000-0002-0000-0200-000000000000}">
      <formula1>"Usabilidad,Rendimiento,Seguridad,Confiabilidad,Portabilidad,Mantenibilidad,Disponibilidad"</formula1>
    </dataValidation>
    <dataValidation type="list" sqref="D8:E100" xr:uid="{00000000-0002-0000-0200-000001000000}">
      <formula1>"Must have,Should have,Could have,Won't have"</formula1>
    </dataValidation>
    <dataValidation type="list" sqref="F8:G100" xr:uid="{00000000-0002-0000-0200-000002000000}">
      <formula1>"Propuesto,En revisión,Validado internamente,Validado con cliente,Rechazado"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workbookViewId="0">
      <selection activeCell="B6" sqref="B6"/>
    </sheetView>
  </sheetViews>
  <sheetFormatPr baseColWidth="10" defaultColWidth="9.140625" defaultRowHeight="15" x14ac:dyDescent="0.25"/>
  <cols>
    <col min="1" max="1" width="40" customWidth="1"/>
    <col min="2" max="2" width="20" customWidth="1"/>
  </cols>
  <sheetData>
    <row r="1" spans="1:4" ht="21" customHeight="1" x14ac:dyDescent="0.35">
      <c r="A1" s="11" t="s">
        <v>0</v>
      </c>
      <c r="B1" s="12"/>
      <c r="C1" s="12"/>
      <c r="D1" s="12"/>
    </row>
    <row r="3" spans="1:4" x14ac:dyDescent="0.25">
      <c r="A3" s="13" t="s">
        <v>1</v>
      </c>
      <c r="B3" s="12"/>
      <c r="C3" s="12"/>
      <c r="D3" s="12"/>
    </row>
    <row r="5" spans="1:4" x14ac:dyDescent="0.25">
      <c r="A5" s="6" t="s">
        <v>2</v>
      </c>
      <c r="B5" s="6" t="s">
        <v>3</v>
      </c>
    </row>
    <row r="6" spans="1:4" x14ac:dyDescent="0.25">
      <c r="A6" t="s">
        <v>4</v>
      </c>
      <c r="B6">
        <f>COUNTA('RF - Funcionales'!A2:A99)</f>
        <v>12</v>
      </c>
    </row>
    <row r="7" spans="1:4" x14ac:dyDescent="0.25">
      <c r="A7" t="s">
        <v>5</v>
      </c>
      <c r="B7">
        <f>COUNTA('RNF - No Funcionales'!A2:A100)</f>
        <v>6</v>
      </c>
    </row>
    <row r="8" spans="1:4" x14ac:dyDescent="0.25">
      <c r="A8" t="s">
        <v>6</v>
      </c>
      <c r="B8">
        <f>B6+B7</f>
        <v>18</v>
      </c>
    </row>
    <row r="10" spans="1:4" x14ac:dyDescent="0.25">
      <c r="A10" s="6" t="s">
        <v>7</v>
      </c>
    </row>
    <row r="11" spans="1:4" x14ac:dyDescent="0.25">
      <c r="A11" t="s">
        <v>8</v>
      </c>
      <c r="B11">
        <f>COUNTIF('RF - Funcionales'!D:D,"Must")+COUNTIF('RNF - No Funcionales'!E:E,"Must")</f>
        <v>16</v>
      </c>
    </row>
    <row r="12" spans="1:4" x14ac:dyDescent="0.25">
      <c r="A12" t="s">
        <v>9</v>
      </c>
      <c r="B12">
        <f>COUNTIF('RF - Funcionales'!D:D,"Should")+COUNTIF('RNF - No Funcionales'!E:E,"Should")</f>
        <v>1</v>
      </c>
    </row>
    <row r="13" spans="1:4" x14ac:dyDescent="0.25">
      <c r="A13" t="s">
        <v>10</v>
      </c>
      <c r="B13">
        <f>COUNTIF('RF - Funcionales'!D:D,"Could")+COUNTIF('RNF - No Funcionales'!E:E,"Could")</f>
        <v>1</v>
      </c>
    </row>
    <row r="14" spans="1:4" x14ac:dyDescent="0.25">
      <c r="A14" t="s">
        <v>11</v>
      </c>
      <c r="B14">
        <f>COUNTIF('RF - Funcionales'!D:D,"Wont")+COUNTIF('RNF - No Funcionales'!E:E,"Wont")</f>
        <v>0</v>
      </c>
    </row>
    <row r="16" spans="1:4" x14ac:dyDescent="0.25">
      <c r="A16" s="6" t="s">
        <v>12</v>
      </c>
    </row>
    <row r="17" spans="1:2" x14ac:dyDescent="0.25">
      <c r="A17" t="s">
        <v>13</v>
      </c>
      <c r="B17">
        <f>COUNTIF('RF - Funcionales'!F:F,"Propuesto")+COUNTIF('RNF - No Funcionales'!G:G,"Propuesto")</f>
        <v>0</v>
      </c>
    </row>
    <row r="18" spans="1:2" x14ac:dyDescent="0.25">
      <c r="A18" t="s">
        <v>14</v>
      </c>
      <c r="B18">
        <f>COUNTIF('RF - Funcionales'!F:F,"En revisión")+COUNTIF('RNF - No Funcionales'!G:G,"En revisión")</f>
        <v>1</v>
      </c>
    </row>
    <row r="19" spans="1:2" x14ac:dyDescent="0.25">
      <c r="A19" t="s">
        <v>15</v>
      </c>
      <c r="B19">
        <f>COUNTIF('RF - Funcionales'!F:F,"Validado internamente")+COUNTIF('RNF - No Funcionales'!G:G,"Validado internamente")</f>
        <v>0</v>
      </c>
    </row>
    <row r="20" spans="1:2" x14ac:dyDescent="0.25">
      <c r="A20" t="s">
        <v>16</v>
      </c>
      <c r="B20">
        <f>COUNTIF('RF - Funcionales'!F:F,"Validado con cliente")+COUNTIF('RNF - No Funcionales'!G:G,"Validado con cliente")</f>
        <v>17</v>
      </c>
    </row>
    <row r="21" spans="1:2" x14ac:dyDescent="0.25">
      <c r="A21" t="s">
        <v>17</v>
      </c>
      <c r="B21">
        <f>COUNTIF('RF - Funcionales'!F:F,"Rechazado")+COUNTIF('RNF - No Funcionales'!G:G,"Rechazado")</f>
        <v>0</v>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RF - Funcionales</vt:lpstr>
      <vt:lpstr>RNF - No Funcionales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ESTEBAN JIMENEZ LEGASPI</cp:lastModifiedBy>
  <dcterms:created xsi:type="dcterms:W3CDTF">2026-03-22T19:30:30Z</dcterms:created>
  <dcterms:modified xsi:type="dcterms:W3CDTF">2026-06-15T21:06:41Z</dcterms:modified>
</cp:coreProperties>
</file>